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L 2627" sheetId="1" r:id="rId5"/>
    <sheet state="visible" name="EL 2526" sheetId="2" r:id="rId6"/>
  </sheets>
  <definedNames/>
  <calcPr/>
</workbook>
</file>

<file path=xl/sharedStrings.xml><?xml version="1.0" encoding="utf-8"?>
<sst xmlns="http://schemas.openxmlformats.org/spreadsheetml/2006/main" count="431" uniqueCount="272">
  <si>
    <t>Datum</t>
  </si>
  <si>
    <t>Kolo (dan)</t>
  </si>
  <si>
    <t>Tozislav</t>
  </si>
  <si>
    <t>Ivanisevic</t>
  </si>
  <si>
    <t>Lakicevic</t>
  </si>
  <si>
    <t>Simara</t>
  </si>
  <si>
    <t>Prolaznost</t>
  </si>
  <si>
    <t>Uplatio</t>
  </si>
  <si>
    <t>Uplata</t>
  </si>
  <si>
    <t>Dobitak</t>
  </si>
  <si>
    <t>Status</t>
  </si>
  <si>
    <t>24.09.</t>
  </si>
  <si>
    <t>1. (T1)</t>
  </si>
  <si>
    <t>Francisco 15.5- (18)</t>
  </si>
  <si>
    <t>Chris Jones 8.5+ (15)</t>
  </si>
  <si>
    <t>Bonga 9.5- (5)</t>
  </si>
  <si>
    <t>DJ Stewart 12.5- (8)</t>
  </si>
  <si>
    <t>3/4</t>
  </si>
  <si>
    <t>Simke</t>
  </si>
  <si>
    <t>Gubitan</t>
  </si>
  <si>
    <t>25.09.</t>
  </si>
  <si>
    <t>1. (T2)</t>
  </si>
  <si>
    <t>Guduric 10.5- (18)</t>
  </si>
  <si>
    <t>K. Hayes 7.5- (10)</t>
  </si>
  <si>
    <t>Hall 7.5+ (13)</t>
  </si>
  <si>
    <t>Saint-Supery 5.5- (7)</t>
  </si>
  <si>
    <t>1/4</t>
  </si>
  <si>
    <t>Laki</t>
  </si>
  <si>
    <t>Jedini promasio</t>
  </si>
  <si>
    <t>29.09</t>
  </si>
  <si>
    <t>2. (T1)</t>
  </si>
  <si>
    <t>Weiler-Babb 4.5+ (2)</t>
  </si>
  <si>
    <t>Luwawu-Cabarrot 15.5- (0)</t>
  </si>
  <si>
    <t>Obst 13.5+ (8)</t>
  </si>
  <si>
    <t>Jekiri 8.5- (15)</t>
  </si>
  <si>
    <t>Ivan</t>
  </si>
  <si>
    <t>Toza</t>
  </si>
  <si>
    <t>01.10.</t>
  </si>
  <si>
    <t>3. (T1)</t>
  </si>
  <si>
    <t>Fournier 11.5- (6)</t>
  </si>
  <si>
    <t>Saric 12.5+ (13)</t>
  </si>
  <si>
    <t>Carter 7.5- (10)</t>
  </si>
  <si>
    <t>Tyrique Jones 6.5+ (2)</t>
  </si>
  <si>
    <t>2/4</t>
  </si>
  <si>
    <t>02.10.</t>
  </si>
  <si>
    <t>3. (T2)</t>
  </si>
  <si>
    <t>Badio 8.5- (0)</t>
  </si>
  <si>
    <t>Sorkin 12.5- (13)</t>
  </si>
  <si>
    <t>Voigtmann 5.5+ (2)</t>
  </si>
  <si>
    <t>Washington 13.5- (20)</t>
  </si>
  <si>
    <t>08.10.</t>
  </si>
  <si>
    <t>4. (T2)</t>
  </si>
  <si>
    <t>Badio 5.5- (7)</t>
  </si>
  <si>
    <t>K. Hayes 5.5+ (5)</t>
  </si>
  <si>
    <t>Hayes-Davis 12.5+ (19)</t>
  </si>
  <si>
    <t>Feliz 6.5+ (9)</t>
  </si>
  <si>
    <t>09.10.</t>
  </si>
  <si>
    <t>4. (T3)</t>
  </si>
  <si>
    <t>Parra 8.5+ (4)</t>
  </si>
  <si>
    <t>Gabriel 4.5+ (12)</t>
  </si>
  <si>
    <t>Strazel 11.5+ (7)</t>
  </si>
  <si>
    <t>Valančiunas 13.5+ (12)</t>
  </si>
  <si>
    <t>Statistika prolaznosti</t>
  </si>
  <si>
    <t>2/7</t>
  </si>
  <si>
    <t>4/7</t>
  </si>
  <si>
    <t>3/7</t>
  </si>
  <si>
    <t>0/4</t>
  </si>
  <si>
    <t>Total: 11/28</t>
  </si>
  <si>
    <t>Ukupno</t>
  </si>
  <si>
    <t>0/3</t>
  </si>
  <si>
    <t>Uplaceno</t>
  </si>
  <si>
    <t>Dobijeno</t>
  </si>
  <si>
    <t>Profit</t>
  </si>
  <si>
    <t>1/3</t>
  </si>
  <si>
    <t>2/3</t>
  </si>
  <si>
    <t>3/3</t>
  </si>
  <si>
    <t>4/4</t>
  </si>
  <si>
    <t>04.12</t>
  </si>
  <si>
    <t>14 (T1)</t>
  </si>
  <si>
    <t>Hifi -</t>
  </si>
  <si>
    <t>I. Mike -</t>
  </si>
  <si>
    <t>Dinvidi +</t>
  </si>
  <si>
    <t>Ndiaye +</t>
  </si>
  <si>
    <t>Dobitan</t>
  </si>
  <si>
    <t>05.12</t>
  </si>
  <si>
    <t>14 (T2)</t>
  </si>
  <si>
    <t>Nunn -</t>
  </si>
  <si>
    <t>Faried +</t>
  </si>
  <si>
    <t>Shengelia +</t>
  </si>
  <si>
    <t>Bertans +</t>
  </si>
  <si>
    <t>11.12</t>
  </si>
  <si>
    <t>15 (T1)</t>
  </si>
  <si>
    <t>De Kolo -</t>
  </si>
  <si>
    <t>Sorkin +</t>
  </si>
  <si>
    <t>Taylor +</t>
  </si>
  <si>
    <t>Tawares +</t>
  </si>
  <si>
    <t>12.12</t>
  </si>
  <si>
    <t>15 (T2)</t>
  </si>
  <si>
    <t>Punter -</t>
  </si>
  <si>
    <t>Oturu -</t>
  </si>
  <si>
    <t>CMM -</t>
  </si>
  <si>
    <t>Edwards -</t>
  </si>
  <si>
    <t>16.12</t>
  </si>
  <si>
    <t>16 (T1)</t>
  </si>
  <si>
    <t>Milutinov +</t>
  </si>
  <si>
    <t>Odzelej -</t>
  </si>
  <si>
    <t>Butler +</t>
  </si>
  <si>
    <t>C. Jones +</t>
  </si>
  <si>
    <t>18.12</t>
  </si>
  <si>
    <t>17 (T1)</t>
  </si>
  <si>
    <t>L. Walker -</t>
  </si>
  <si>
    <t>Kampaco -</t>
  </si>
  <si>
    <t>M'Baye +</t>
  </si>
  <si>
    <t>19.12</t>
  </si>
  <si>
    <t>17 (T2)</t>
  </si>
  <si>
    <t>Forest +</t>
  </si>
  <si>
    <t xml:space="preserve">Vezenkov - </t>
  </si>
  <si>
    <t>Kodi +</t>
  </si>
  <si>
    <t>Tubelis +</t>
  </si>
  <si>
    <t>23.12</t>
  </si>
  <si>
    <t>18 (T1)</t>
  </si>
  <si>
    <t>Nwora +</t>
  </si>
  <si>
    <t>Ouattara +</t>
  </si>
  <si>
    <t>Dinvidi -</t>
  </si>
  <si>
    <t>26.12</t>
  </si>
  <si>
    <t>18 (T2)</t>
  </si>
  <si>
    <t>Lundberg +</t>
  </si>
  <si>
    <t>Bruno +</t>
  </si>
  <si>
    <t>Calathes -</t>
  </si>
  <si>
    <t>30.12</t>
  </si>
  <si>
    <t>19 (T1)</t>
  </si>
  <si>
    <t>E. Bryant +</t>
  </si>
  <si>
    <t>Francisko -</t>
  </si>
  <si>
    <t>Rhoden -</t>
  </si>
  <si>
    <t>Thies -</t>
  </si>
  <si>
    <t>08.01</t>
  </si>
  <si>
    <t>21 (T1)</t>
  </si>
  <si>
    <t>Smailagic +</t>
  </si>
  <si>
    <t>Mirotic +</t>
  </si>
  <si>
    <t>09.01</t>
  </si>
  <si>
    <t>21 (T2)</t>
  </si>
  <si>
    <t>Milutinov -</t>
  </si>
  <si>
    <t>Calathes +</t>
  </si>
  <si>
    <t>Peters -</t>
  </si>
  <si>
    <t>15.01</t>
  </si>
  <si>
    <t>22 (T2)</t>
  </si>
  <si>
    <t>Osman -</t>
  </si>
  <si>
    <t>Butler</t>
  </si>
  <si>
    <t>Nebo +</t>
  </si>
  <si>
    <t>16.01</t>
  </si>
  <si>
    <t>22 (T3)</t>
  </si>
  <si>
    <t>Thompson +</t>
  </si>
  <si>
    <t>Motley -</t>
  </si>
  <si>
    <t>Maledon +</t>
  </si>
  <si>
    <t>20.01</t>
  </si>
  <si>
    <t>23 (T1)</t>
  </si>
  <si>
    <t>Nedovic -</t>
  </si>
  <si>
    <t>Luwawu -</t>
  </si>
  <si>
    <t>22.01</t>
  </si>
  <si>
    <t>24 (T1)</t>
  </si>
  <si>
    <t>Lundberg -</t>
  </si>
  <si>
    <t>Vezenkov +</t>
  </si>
  <si>
    <t>K. Hayes +</t>
  </si>
  <si>
    <t>Lucic +</t>
  </si>
  <si>
    <t>23.01</t>
  </si>
  <si>
    <t>24 (T2)</t>
  </si>
  <si>
    <t>Jekiri +</t>
  </si>
  <si>
    <t>Moneke -</t>
  </si>
  <si>
    <t>Blakeney +</t>
  </si>
  <si>
    <t>W. Hernangomez -</t>
  </si>
  <si>
    <t>29.01</t>
  </si>
  <si>
    <t>25 (T2)</t>
  </si>
  <si>
    <t>Obst -</t>
  </si>
  <si>
    <t>Blat +</t>
  </si>
  <si>
    <t>Walkup -</t>
  </si>
  <si>
    <t>30.01</t>
  </si>
  <si>
    <t>25 (T3)</t>
  </si>
  <si>
    <t>Avramovic +</t>
  </si>
  <si>
    <t>Mck. Wright +</t>
  </si>
  <si>
    <t>Slukas -</t>
  </si>
  <si>
    <t>03.02</t>
  </si>
  <si>
    <t>26 (T1)</t>
  </si>
  <si>
    <t>Kalinic +</t>
  </si>
  <si>
    <t>Sorkin -</t>
  </si>
  <si>
    <t>Obst +</t>
  </si>
  <si>
    <t>Hezonja -</t>
  </si>
  <si>
    <t>05.02</t>
  </si>
  <si>
    <t>27 (T1)</t>
  </si>
  <si>
    <t>Sterling -</t>
  </si>
  <si>
    <t>Strazel +</t>
  </si>
  <si>
    <t>Mitoglou +</t>
  </si>
  <si>
    <t>Jessup -</t>
  </si>
  <si>
    <t>06.02</t>
  </si>
  <si>
    <t>27 (T2)</t>
  </si>
  <si>
    <t>Izundu -</t>
  </si>
  <si>
    <t>Kurucs -</t>
  </si>
  <si>
    <t>12.02</t>
  </si>
  <si>
    <t>28 (T1)</t>
  </si>
  <si>
    <t>Dorsey -</t>
  </si>
  <si>
    <t>Nwora -</t>
  </si>
  <si>
    <t>Bolomboj +</t>
  </si>
  <si>
    <t>Angola -</t>
  </si>
  <si>
    <t>13.02</t>
  </si>
  <si>
    <t>28 (T2)</t>
  </si>
  <si>
    <t>Huanco -</t>
  </si>
  <si>
    <t>Washington +</t>
  </si>
  <si>
    <t>25.02</t>
  </si>
  <si>
    <t>29 (T1)</t>
  </si>
  <si>
    <t>Babb +</t>
  </si>
  <si>
    <t>26.02</t>
  </si>
  <si>
    <t>29 (T2)</t>
  </si>
  <si>
    <t>TJ Shorts -</t>
  </si>
  <si>
    <t>05.03</t>
  </si>
  <si>
    <t>30 (T1)</t>
  </si>
  <si>
    <t>Brooks -</t>
  </si>
  <si>
    <t>Gos -</t>
  </si>
  <si>
    <t>06.03</t>
  </si>
  <si>
    <t>30 (T2)</t>
  </si>
  <si>
    <t>Fournier -</t>
  </si>
  <si>
    <t>Izundu +</t>
  </si>
  <si>
    <t>Moneke +</t>
  </si>
  <si>
    <t>Omoruyi -</t>
  </si>
  <si>
    <t>12.03</t>
  </si>
  <si>
    <t>31 (T2)</t>
  </si>
  <si>
    <t>Forrest +</t>
  </si>
  <si>
    <t>Hezonja +</t>
  </si>
  <si>
    <t>Dimitrijevic -</t>
  </si>
  <si>
    <t>13.03</t>
  </si>
  <si>
    <t>31 (T3)</t>
  </si>
  <si>
    <t>Horton-Tucker +</t>
  </si>
  <si>
    <t>Blakeney -</t>
  </si>
  <si>
    <t>19.03</t>
  </si>
  <si>
    <t>32 (T1)</t>
  </si>
  <si>
    <t xml:space="preserve">Obst - </t>
  </si>
  <si>
    <t>Mck. Wright -</t>
  </si>
  <si>
    <t>Petrusev +</t>
  </si>
  <si>
    <t>20.03</t>
  </si>
  <si>
    <t>32 (T2)</t>
  </si>
  <si>
    <t>Lessort +</t>
  </si>
  <si>
    <t>Motiejunas +</t>
  </si>
  <si>
    <t>24.03</t>
  </si>
  <si>
    <t>33 (T1)</t>
  </si>
  <si>
    <t>Milton +</t>
  </si>
  <si>
    <t>Oturu +</t>
  </si>
  <si>
    <t>PJ Dozier -</t>
  </si>
  <si>
    <t>26.03</t>
  </si>
  <si>
    <t>34 (T1)</t>
  </si>
  <si>
    <t>Blatt +</t>
  </si>
  <si>
    <t>Lucic -</t>
  </si>
  <si>
    <t>Mck. Wirght -</t>
  </si>
  <si>
    <t>Tavares -</t>
  </si>
  <si>
    <t>27.03</t>
  </si>
  <si>
    <t>34 (T2)</t>
  </si>
  <si>
    <t>Blossomgame +</t>
  </si>
  <si>
    <t>02.04</t>
  </si>
  <si>
    <t>35 (T2)</t>
  </si>
  <si>
    <t>Dobric +</t>
  </si>
  <si>
    <t>Robinson -</t>
  </si>
  <si>
    <t>Clark +</t>
  </si>
  <si>
    <t>03.04</t>
  </si>
  <si>
    <t>35 (T3)</t>
  </si>
  <si>
    <t>Dorsey +</t>
  </si>
  <si>
    <t>Montero +</t>
  </si>
  <si>
    <t>07.04</t>
  </si>
  <si>
    <t>36 (T1)</t>
  </si>
  <si>
    <t>Hayes-Davis -</t>
  </si>
  <si>
    <t>Butler -</t>
  </si>
  <si>
    <t>14/37</t>
  </si>
  <si>
    <t>26/37</t>
  </si>
  <si>
    <t>26/34</t>
  </si>
  <si>
    <t>22/35</t>
  </si>
  <si>
    <t>Total: 85/135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</si>
</sst>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8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EA9999"/>
        <bgColor rgb="FFEA9999"/>
      </patternFill>
    </fill>
    <fill>
      <patternFill patternType="solid">
        <fgColor rgb="FFB6D7A8"/>
        <bgColor rgb="FFB6D7A8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FFF2CC"/>
        <bgColor rgb="FFFFF2CC"/>
      </patternFill>
    </fill>
  </fills>
  <borders count="8">
    <border/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2" fillId="0" fontId="2" numFmtId="49" xfId="0" applyAlignment="1" applyBorder="1" applyFont="1" applyNumberFormat="1">
      <alignment readingOrder="0"/>
    </xf>
    <xf borderId="2" fillId="0" fontId="2" numFmtId="0" xfId="0" applyAlignment="1" applyBorder="1" applyFont="1">
      <alignment readingOrder="0"/>
    </xf>
    <xf borderId="2" fillId="3" fontId="2" numFmtId="0" xfId="0" applyAlignment="1" applyBorder="1" applyFill="1" applyFont="1">
      <alignment readingOrder="0"/>
    </xf>
    <xf borderId="2" fillId="4" fontId="2" numFmtId="0" xfId="0" applyAlignment="1" applyBorder="1" applyFill="1" applyFont="1">
      <alignment readingOrder="0"/>
    </xf>
    <xf borderId="2" fillId="0" fontId="2" numFmtId="49" xfId="0" applyAlignment="1" applyBorder="1" applyFont="1" applyNumberFormat="1">
      <alignment horizontal="right" readingOrder="0"/>
    </xf>
    <xf borderId="3" fillId="2" fontId="1" numFmtId="0" xfId="0" applyAlignment="1" applyBorder="1" applyFill="1" applyFont="1">
      <alignment readingOrder="0"/>
    </xf>
    <xf borderId="4" fillId="0" fontId="3" numFmtId="0" xfId="0" applyBorder="1" applyFont="1"/>
    <xf borderId="3" fillId="2" fontId="1" numFmtId="49" xfId="0" applyAlignment="1" applyBorder="1" applyFill="1" applyFont="1" applyNumberFormat="1">
      <alignment readingOrder="0"/>
    </xf>
    <xf borderId="5" fillId="0" fontId="1" numFmtId="49" xfId="0" applyAlignment="1" applyBorder="1" applyFont="1" applyNumberFormat="1">
      <alignment horizontal="right" readingOrder="0"/>
    </xf>
    <xf borderId="3" fillId="5" fontId="1" numFmtId="0" xfId="0" applyAlignment="1" applyBorder="1" applyFill="1" applyFont="1">
      <alignment horizontal="center" readingOrder="0"/>
    </xf>
    <xf borderId="6" fillId="0" fontId="3" numFmtId="0" xfId="0" applyBorder="1" applyFont="1"/>
    <xf borderId="0" fillId="0" fontId="1" numFmtId="0" xfId="0" applyAlignment="1" applyFont="1">
      <alignment readingOrder="0"/>
    </xf>
    <xf borderId="3" fillId="6" fontId="1" numFmtId="0" xfId="0" applyAlignment="1" applyBorder="1" applyFill="1" applyFont="1">
      <alignment readingOrder="0"/>
    </xf>
    <xf borderId="2" fillId="0" fontId="1" numFmtId="0" xfId="0" applyAlignment="1" applyBorder="1" applyFont="1">
      <alignment readingOrder="0"/>
    </xf>
    <xf borderId="0" fillId="0" fontId="1" numFmtId="0" xfId="0" applyFont="1"/>
    <xf borderId="2" fillId="0" fontId="1" numFmtId="0" xfId="0" applyBorder="1" applyFont="1"/>
    <xf borderId="0" fillId="0" fontId="2" numFmtId="0" xfId="0" applyAlignment="1" applyFont="1">
      <alignment readingOrder="0"/>
    </xf>
    <xf borderId="2" fillId="0" fontId="2" numFmtId="0" xfId="0" applyBorder="1" applyFont="1"/>
    <xf borderId="0" fillId="0" fontId="1" numFmtId="49" xfId="0" applyAlignment="1" applyFont="1" applyNumberFormat="1">
      <alignment readingOrder="0"/>
    </xf>
    <xf borderId="0" fillId="0" fontId="2" numFmtId="49" xfId="0" applyAlignment="1" applyFont="1" applyNumberFormat="1">
      <alignment readingOrder="0"/>
    </xf>
    <xf borderId="0" fillId="0" fontId="2" numFmtId="49" xfId="0" applyAlignment="1" applyFont="1" applyNumberFormat="1">
      <alignment horizontal="right"/>
    </xf>
    <xf borderId="2" fillId="7" fontId="2" numFmtId="0" xfId="0" applyAlignment="1" applyBorder="1" applyFill="1" applyFont="1">
      <alignment readingOrder="0"/>
    </xf>
    <xf borderId="0" fillId="4" fontId="2" numFmtId="0" xfId="0" applyAlignment="1" applyFill="1" applyFont="1">
      <alignment readingOrder="0"/>
    </xf>
    <xf borderId="0" fillId="3" fontId="2" numFmtId="0" xfId="0" applyAlignment="1" applyFill="1" applyFont="1">
      <alignment readingOrder="0"/>
    </xf>
    <xf borderId="7" fillId="0" fontId="2" numFmtId="49" xfId="0" applyAlignment="1" applyBorder="1" applyFont="1" applyNumberFormat="1">
      <alignment readingOrder="0"/>
    </xf>
    <xf borderId="7" fillId="0" fontId="2" numFmtId="0" xfId="0" applyAlignment="1" applyBorder="1" applyFont="1">
      <alignment readingOrder="0"/>
    </xf>
    <xf borderId="7" fillId="4" fontId="2" numFmtId="0" xfId="0" applyAlignment="1" applyBorder="1" applyFill="1" applyFont="1">
      <alignment readingOrder="0"/>
    </xf>
    <xf borderId="7" fillId="3" fontId="2" numFmtId="0" xfId="0" applyAlignment="1" applyBorder="1" applyFill="1" applyFont="1">
      <alignment readingOrder="0"/>
    </xf>
    <xf borderId="7" fillId="7" fontId="2" numFmtId="0" xfId="0" applyAlignment="1" applyBorder="1" applyFill="1" applyFont="1">
      <alignment readingOrder="0"/>
    </xf>
    <xf borderId="7" fillId="0" fontId="2" numFmtId="49" xfId="0" applyAlignment="1" applyBorder="1" applyFont="1" applyNumberFormat="1">
      <alignment horizontal="right" readingOrder="0"/>
    </xf>
    <xf borderId="7" fillId="0" fontId="2" numFmtId="49" xfId="0" applyAlignment="1" applyBorder="1" applyFont="1" applyNumberFormat="1">
      <alignment readingOrder="0"/>
    </xf>
    <xf borderId="7" fillId="0" fontId="2" numFmtId="0" xfId="0" applyAlignment="1" applyBorder="1" applyFont="1">
      <alignment readingOrder="0"/>
    </xf>
    <xf borderId="7" fillId="3" fontId="2" numFmtId="0" xfId="0" applyAlignment="1" applyBorder="1" applyFill="1" applyFont="1">
      <alignment readingOrder="0"/>
    </xf>
    <xf borderId="7" fillId="4" fontId="2" numFmtId="0" xfId="0" applyAlignment="1" applyBorder="1" applyFill="1" applyFont="1">
      <alignment readingOrder="0"/>
    </xf>
    <xf borderId="7" fillId="0" fontId="2" numFmtId="49" xfId="0" applyAlignment="1" applyBorder="1" applyFont="1" applyNumberFormat="1">
      <alignment horizontal="right" readingOrder="0"/>
    </xf>
    <xf borderId="2" fillId="0" fontId="2" numFmtId="164" xfId="0" applyAlignment="1" applyBorder="1" applyFont="1" applyNumberFormat="1">
      <alignment readingOrder="0"/>
    </xf>
    <xf borderId="2" fillId="0" fontId="2" numFmtId="0" xfId="0" applyAlignment="1" applyBorder="1" applyFont="1">
      <alignment horizontal="right" readingOrder="0"/>
    </xf>
    <xf borderId="2" fillId="0" fontId="2" numFmtId="164" xfId="0" applyAlignment="1" applyBorder="1" applyFont="1" applyNumberForma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25"/>
    <col customWidth="1" min="2" max="2" width="9.38"/>
    <col customWidth="1" min="3" max="3" width="21.13"/>
    <col customWidth="1" min="4" max="4" width="24.38"/>
    <col customWidth="1" min="5" max="5" width="23.25"/>
    <col customWidth="1" min="6" max="6" width="26.0"/>
    <col customWidth="1" min="7" max="7" width="9.63"/>
    <col customWidth="1" min="8" max="8" width="10.5"/>
    <col customWidth="1" min="9" max="9" width="8.75"/>
    <col customWidth="1" min="10" max="10" width="9.5"/>
    <col customWidth="1" min="12" max="12" width="11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3" t="s">
        <v>12</v>
      </c>
      <c r="C2" s="4" t="s">
        <v>13</v>
      </c>
      <c r="D2" s="5" t="s">
        <v>14</v>
      </c>
      <c r="E2" s="5" t="s">
        <v>15</v>
      </c>
      <c r="F2" s="5" t="s">
        <v>16</v>
      </c>
      <c r="G2" s="6" t="s">
        <v>17</v>
      </c>
      <c r="H2" s="3" t="s">
        <v>18</v>
      </c>
      <c r="I2" s="3">
        <v>500.0</v>
      </c>
      <c r="J2" s="3">
        <v>6507.0</v>
      </c>
      <c r="K2" s="3" t="s">
        <v>19</v>
      </c>
    </row>
    <row r="3">
      <c r="A3" s="2" t="s">
        <v>20</v>
      </c>
      <c r="B3" s="3" t="s">
        <v>21</v>
      </c>
      <c r="C3" s="4" t="s">
        <v>22</v>
      </c>
      <c r="D3" s="4" t="s">
        <v>23</v>
      </c>
      <c r="E3" s="5" t="s">
        <v>24</v>
      </c>
      <c r="F3" s="4" t="s">
        <v>25</v>
      </c>
      <c r="G3" s="6" t="s">
        <v>26</v>
      </c>
      <c r="H3" s="3" t="s">
        <v>27</v>
      </c>
      <c r="I3" s="3">
        <v>500.0</v>
      </c>
      <c r="J3" s="3">
        <v>5848.0</v>
      </c>
      <c r="K3" s="3" t="s">
        <v>19</v>
      </c>
      <c r="M3" s="7" t="s">
        <v>28</v>
      </c>
      <c r="N3" s="8"/>
    </row>
    <row r="4">
      <c r="A4" s="2" t="s">
        <v>29</v>
      </c>
      <c r="B4" s="3" t="s">
        <v>30</v>
      </c>
      <c r="C4" s="4" t="s">
        <v>31</v>
      </c>
      <c r="D4" s="5" t="s">
        <v>32</v>
      </c>
      <c r="E4" s="4" t="s">
        <v>33</v>
      </c>
      <c r="F4" s="4" t="s">
        <v>34</v>
      </c>
      <c r="G4" s="6" t="s">
        <v>26</v>
      </c>
      <c r="H4" s="3" t="s">
        <v>35</v>
      </c>
      <c r="I4" s="3">
        <v>500.0</v>
      </c>
      <c r="J4" s="3">
        <v>6516.0</v>
      </c>
      <c r="K4" s="3" t="s">
        <v>19</v>
      </c>
      <c r="M4" s="3" t="s">
        <v>36</v>
      </c>
      <c r="N4" s="3">
        <v>1.0</v>
      </c>
    </row>
    <row r="5">
      <c r="A5" s="2" t="s">
        <v>37</v>
      </c>
      <c r="B5" s="3" t="s">
        <v>38</v>
      </c>
      <c r="C5" s="5" t="s">
        <v>39</v>
      </c>
      <c r="D5" s="5" t="s">
        <v>40</v>
      </c>
      <c r="E5" s="4" t="s">
        <v>41</v>
      </c>
      <c r="F5" s="4" t="s">
        <v>42</v>
      </c>
      <c r="G5" s="6" t="s">
        <v>43</v>
      </c>
      <c r="H5" s="3" t="s">
        <v>36</v>
      </c>
      <c r="I5" s="3">
        <v>500.0</v>
      </c>
      <c r="J5" s="3">
        <v>6340.0</v>
      </c>
      <c r="K5" s="3" t="s">
        <v>19</v>
      </c>
      <c r="M5" s="3" t="s">
        <v>35</v>
      </c>
      <c r="N5" s="3"/>
    </row>
    <row r="6">
      <c r="A6" s="2" t="s">
        <v>44</v>
      </c>
      <c r="B6" s="3" t="s">
        <v>45</v>
      </c>
      <c r="C6" s="5" t="s">
        <v>46</v>
      </c>
      <c r="D6" s="4" t="s">
        <v>47</v>
      </c>
      <c r="E6" s="4" t="s">
        <v>48</v>
      </c>
      <c r="F6" s="4" t="s">
        <v>49</v>
      </c>
      <c r="G6" s="6" t="s">
        <v>26</v>
      </c>
      <c r="H6" s="3" t="s">
        <v>36</v>
      </c>
      <c r="I6" s="3">
        <v>500.0</v>
      </c>
      <c r="J6" s="3">
        <v>6178.0</v>
      </c>
      <c r="K6" s="3" t="s">
        <v>19</v>
      </c>
      <c r="M6" s="3" t="s">
        <v>27</v>
      </c>
      <c r="N6" s="3"/>
    </row>
    <row r="7">
      <c r="A7" s="2" t="s">
        <v>50</v>
      </c>
      <c r="B7" s="3" t="s">
        <v>51</v>
      </c>
      <c r="C7" s="4" t="s">
        <v>52</v>
      </c>
      <c r="D7" s="4" t="s">
        <v>53</v>
      </c>
      <c r="E7" s="5" t="s">
        <v>54</v>
      </c>
      <c r="F7" s="5" t="s">
        <v>55</v>
      </c>
      <c r="G7" s="6" t="s">
        <v>43</v>
      </c>
      <c r="H7" s="3" t="s">
        <v>18</v>
      </c>
      <c r="I7" s="3">
        <v>500.0</v>
      </c>
      <c r="J7" s="3">
        <v>6011.0</v>
      </c>
      <c r="K7" s="3" t="s">
        <v>19</v>
      </c>
      <c r="M7" s="3" t="s">
        <v>18</v>
      </c>
      <c r="N7" s="3"/>
    </row>
    <row r="8">
      <c r="A8" s="2" t="s">
        <v>56</v>
      </c>
      <c r="B8" s="3" t="s">
        <v>57</v>
      </c>
      <c r="C8" s="4" t="s">
        <v>58</v>
      </c>
      <c r="D8" s="5" t="s">
        <v>59</v>
      </c>
      <c r="E8" s="4" t="s">
        <v>60</v>
      </c>
      <c r="F8" s="4" t="s">
        <v>61</v>
      </c>
      <c r="G8" s="6" t="s">
        <v>26</v>
      </c>
      <c r="H8" s="3" t="s">
        <v>27</v>
      </c>
      <c r="I8" s="3">
        <v>500.0</v>
      </c>
      <c r="J8" s="3">
        <v>6173.0</v>
      </c>
      <c r="K8" s="3" t="s">
        <v>19</v>
      </c>
    </row>
    <row r="9">
      <c r="A9" s="2"/>
      <c r="B9" s="3"/>
      <c r="C9" s="3"/>
      <c r="D9" s="3"/>
      <c r="E9" s="3"/>
      <c r="F9" s="3"/>
      <c r="G9" s="6"/>
      <c r="H9" s="3"/>
      <c r="I9" s="3"/>
      <c r="J9" s="3"/>
      <c r="K9" s="3"/>
      <c r="M9" s="9" t="s">
        <v>62</v>
      </c>
      <c r="N9" s="8"/>
    </row>
    <row r="10">
      <c r="C10" s="10" t="s">
        <v>63</v>
      </c>
      <c r="D10" s="10" t="s">
        <v>64</v>
      </c>
      <c r="E10" s="10" t="s">
        <v>65</v>
      </c>
      <c r="F10" s="10" t="s">
        <v>63</v>
      </c>
      <c r="M10" s="2" t="s">
        <v>66</v>
      </c>
      <c r="N10" s="3">
        <f t="shared" ref="N10:N18" si="1">COUNTIF($G$2:$G$9,M10)</f>
        <v>0</v>
      </c>
    </row>
    <row r="11">
      <c r="C11" s="11" t="s">
        <v>67</v>
      </c>
      <c r="D11" s="12"/>
      <c r="E11" s="12"/>
      <c r="F11" s="8"/>
      <c r="H11" s="13"/>
      <c r="I11" s="14" t="s">
        <v>68</v>
      </c>
      <c r="J11" s="12"/>
      <c r="K11" s="8"/>
      <c r="M11" s="2" t="s">
        <v>69</v>
      </c>
      <c r="N11" s="3">
        <f t="shared" si="1"/>
        <v>0</v>
      </c>
    </row>
    <row r="12">
      <c r="H12" s="13"/>
      <c r="I12" s="15" t="s">
        <v>70</v>
      </c>
      <c r="J12" s="15" t="s">
        <v>71</v>
      </c>
      <c r="K12" s="15" t="s">
        <v>72</v>
      </c>
      <c r="M12" s="2" t="s">
        <v>26</v>
      </c>
      <c r="N12" s="3">
        <f t="shared" si="1"/>
        <v>4</v>
      </c>
    </row>
    <row r="13">
      <c r="H13" s="16"/>
      <c r="I13" s="17">
        <f> SUM(I2:I9)</f>
        <v>3500</v>
      </c>
      <c r="J13" s="17">
        <f>SUMIF(K2:K9,"Dobitan",J2:J9)</f>
        <v>0</v>
      </c>
      <c r="K13" s="17">
        <f>J13-I13</f>
        <v>-3500</v>
      </c>
      <c r="M13" s="2" t="s">
        <v>73</v>
      </c>
      <c r="N13" s="3">
        <f t="shared" si="1"/>
        <v>0</v>
      </c>
    </row>
    <row r="14">
      <c r="M14" s="2" t="s">
        <v>43</v>
      </c>
      <c r="N14" s="3">
        <f t="shared" si="1"/>
        <v>2</v>
      </c>
    </row>
    <row r="15">
      <c r="H15" s="13"/>
      <c r="I15" s="14" t="s">
        <v>7</v>
      </c>
      <c r="J15" s="8"/>
      <c r="M15" s="2" t="s">
        <v>74</v>
      </c>
      <c r="N15" s="3">
        <f t="shared" si="1"/>
        <v>0</v>
      </c>
    </row>
    <row r="16">
      <c r="H16" s="18"/>
      <c r="I16" s="3" t="s">
        <v>36</v>
      </c>
      <c r="J16" s="19">
        <f t="shared" ref="J16:J19" si="2">SUMIF($H$2:$H$9,I16,$I$2:$I$9)</f>
        <v>1000</v>
      </c>
      <c r="M16" s="2" t="s">
        <v>17</v>
      </c>
      <c r="N16" s="3">
        <f t="shared" si="1"/>
        <v>1</v>
      </c>
    </row>
    <row r="17">
      <c r="H17" s="18"/>
      <c r="I17" s="3" t="s">
        <v>35</v>
      </c>
      <c r="J17" s="19">
        <f t="shared" si="2"/>
        <v>500</v>
      </c>
      <c r="M17" s="2" t="s">
        <v>75</v>
      </c>
      <c r="N17" s="3">
        <f t="shared" si="1"/>
        <v>0</v>
      </c>
    </row>
    <row r="18">
      <c r="H18" s="18"/>
      <c r="I18" s="3" t="s">
        <v>27</v>
      </c>
      <c r="J18" s="19">
        <f t="shared" si="2"/>
        <v>1000</v>
      </c>
      <c r="M18" s="2" t="s">
        <v>76</v>
      </c>
      <c r="N18" s="3">
        <f t="shared" si="1"/>
        <v>0</v>
      </c>
    </row>
    <row r="19">
      <c r="H19" s="18"/>
      <c r="I19" s="3" t="s">
        <v>18</v>
      </c>
      <c r="J19" s="19">
        <f t="shared" si="2"/>
        <v>1000</v>
      </c>
    </row>
    <row r="20">
      <c r="I20" s="13"/>
      <c r="J20" s="13"/>
    </row>
    <row r="21">
      <c r="H21" s="20"/>
      <c r="I21" s="13"/>
      <c r="J21" s="13"/>
    </row>
    <row r="22">
      <c r="H22" s="21"/>
      <c r="I22" s="13"/>
      <c r="J22" s="13"/>
    </row>
    <row r="23">
      <c r="H23" s="21"/>
      <c r="I23" s="13"/>
      <c r="J23" s="13"/>
    </row>
    <row r="24">
      <c r="H24" s="21"/>
      <c r="I24" s="13"/>
      <c r="J24" s="13"/>
    </row>
    <row r="25">
      <c r="H25" s="21"/>
      <c r="I25" s="13"/>
      <c r="J25" s="13"/>
    </row>
    <row r="26">
      <c r="H26" s="21"/>
      <c r="I26" s="21"/>
      <c r="J26" s="18"/>
    </row>
    <row r="27">
      <c r="H27" s="21"/>
      <c r="I27" s="21"/>
      <c r="J27" s="18"/>
    </row>
    <row r="28">
      <c r="H28" s="21"/>
      <c r="I28" s="21"/>
      <c r="J28" s="18"/>
    </row>
    <row r="29">
      <c r="H29" s="21"/>
      <c r="I29" s="21"/>
      <c r="J29" s="18"/>
    </row>
    <row r="30">
      <c r="H30" s="21"/>
      <c r="I30" s="21"/>
      <c r="J30" s="18"/>
    </row>
    <row r="32">
      <c r="H32" s="13"/>
      <c r="I32" s="13"/>
      <c r="J32" s="13"/>
    </row>
    <row r="33">
      <c r="H33" s="18"/>
      <c r="I33" s="13"/>
      <c r="J33" s="13"/>
    </row>
    <row r="34">
      <c r="H34" s="18"/>
      <c r="I34" s="13"/>
      <c r="J34" s="13"/>
    </row>
    <row r="35">
      <c r="H35" s="18"/>
      <c r="I35" s="13"/>
      <c r="J35" s="13"/>
    </row>
    <row r="36">
      <c r="H36" s="18"/>
      <c r="I36" s="13"/>
      <c r="J36" s="13"/>
    </row>
    <row r="37">
      <c r="H37" s="22"/>
      <c r="I37" s="22"/>
    </row>
    <row r="38">
      <c r="H38" s="22"/>
      <c r="I38" s="22"/>
    </row>
  </sheetData>
  <mergeCells count="5">
    <mergeCell ref="M3:N3"/>
    <mergeCell ref="M9:N9"/>
    <mergeCell ref="C11:F11"/>
    <mergeCell ref="I11:K11"/>
    <mergeCell ref="I15:J15"/>
  </mergeCells>
  <dataValidations>
    <dataValidation type="list" allowBlank="1" showErrorMessage="1" sqref="K2:K9">
      <formula1>"Gubitan,Dobitan"</formula1>
    </dataValidation>
    <dataValidation type="list" allowBlank="1" showErrorMessage="1" sqref="H2:H9">
      <formula1>"Simke,Laki,Toza,Ivan"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63"/>
    <col customWidth="1" min="2" max="2" width="10.25"/>
    <col customWidth="1" min="3" max="3" width="21.13"/>
    <col customWidth="1" min="4" max="4" width="24.38"/>
    <col customWidth="1" min="5" max="5" width="23.25"/>
    <col customWidth="1" min="6" max="6" width="26.0"/>
    <col customWidth="1" min="7" max="7" width="11.0"/>
    <col customWidth="1" min="8" max="8" width="8.75"/>
    <col customWidth="1" min="9" max="9" width="9.5"/>
    <col customWidth="1" min="11" max="11" width="40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  <c r="I1" s="1" t="s">
        <v>9</v>
      </c>
      <c r="J1" s="1" t="s">
        <v>10</v>
      </c>
    </row>
    <row r="2">
      <c r="A2" s="2" t="s">
        <v>77</v>
      </c>
      <c r="B2" s="3" t="s">
        <v>78</v>
      </c>
      <c r="C2" s="5" t="s">
        <v>79</v>
      </c>
      <c r="D2" s="5" t="s">
        <v>80</v>
      </c>
      <c r="E2" s="5" t="s">
        <v>81</v>
      </c>
      <c r="F2" s="5" t="s">
        <v>82</v>
      </c>
      <c r="G2" s="6" t="s">
        <v>76</v>
      </c>
      <c r="H2" s="3">
        <v>500.0</v>
      </c>
      <c r="I2" s="3">
        <v>5700.0</v>
      </c>
      <c r="J2" s="3" t="s">
        <v>83</v>
      </c>
    </row>
    <row r="3">
      <c r="A3" s="2" t="s">
        <v>84</v>
      </c>
      <c r="B3" s="3" t="s">
        <v>85</v>
      </c>
      <c r="C3" s="4" t="s">
        <v>86</v>
      </c>
      <c r="D3" s="4" t="s">
        <v>87</v>
      </c>
      <c r="E3" s="5" t="s">
        <v>88</v>
      </c>
      <c r="F3" s="4" t="s">
        <v>89</v>
      </c>
      <c r="G3" s="6" t="s">
        <v>26</v>
      </c>
      <c r="H3" s="3">
        <v>700.0</v>
      </c>
      <c r="I3" s="3">
        <v>0.0</v>
      </c>
      <c r="J3" s="3" t="s">
        <v>19</v>
      </c>
    </row>
    <row r="4">
      <c r="A4" s="2" t="s">
        <v>90</v>
      </c>
      <c r="B4" s="3" t="s">
        <v>91</v>
      </c>
      <c r="C4" s="4" t="s">
        <v>92</v>
      </c>
      <c r="D4" s="5" t="s">
        <v>93</v>
      </c>
      <c r="E4" s="5" t="s">
        <v>94</v>
      </c>
      <c r="F4" s="5" t="s">
        <v>95</v>
      </c>
      <c r="G4" s="6" t="s">
        <v>17</v>
      </c>
      <c r="H4" s="3">
        <v>1000.0</v>
      </c>
      <c r="I4" s="3">
        <v>0.0</v>
      </c>
      <c r="J4" s="3" t="s">
        <v>19</v>
      </c>
    </row>
    <row r="5">
      <c r="A5" s="2" t="s">
        <v>96</v>
      </c>
      <c r="B5" s="3" t="s">
        <v>97</v>
      </c>
      <c r="C5" s="4" t="s">
        <v>98</v>
      </c>
      <c r="D5" s="4" t="s">
        <v>99</v>
      </c>
      <c r="E5" s="5" t="s">
        <v>100</v>
      </c>
      <c r="F5" s="5" t="s">
        <v>101</v>
      </c>
      <c r="G5" s="6" t="s">
        <v>43</v>
      </c>
      <c r="H5" s="3">
        <v>500.0</v>
      </c>
      <c r="I5" s="3">
        <v>0.0</v>
      </c>
      <c r="J5" s="3" t="s">
        <v>19</v>
      </c>
    </row>
    <row r="6">
      <c r="A6" s="2" t="s">
        <v>102</v>
      </c>
      <c r="B6" s="3" t="s">
        <v>103</v>
      </c>
      <c r="C6" s="5" t="s">
        <v>104</v>
      </c>
      <c r="D6" s="4" t="s">
        <v>105</v>
      </c>
      <c r="E6" s="5" t="s">
        <v>106</v>
      </c>
      <c r="F6" s="5" t="s">
        <v>107</v>
      </c>
      <c r="G6" s="6" t="s">
        <v>17</v>
      </c>
      <c r="H6" s="3">
        <v>500.0</v>
      </c>
      <c r="I6" s="3">
        <v>0.0</v>
      </c>
      <c r="J6" s="3" t="s">
        <v>19</v>
      </c>
    </row>
    <row r="7">
      <c r="A7" s="2" t="s">
        <v>108</v>
      </c>
      <c r="B7" s="3" t="s">
        <v>109</v>
      </c>
      <c r="C7" s="5" t="s">
        <v>110</v>
      </c>
      <c r="D7" s="5" t="s">
        <v>99</v>
      </c>
      <c r="E7" s="5" t="s">
        <v>111</v>
      </c>
      <c r="F7" s="5" t="s">
        <v>112</v>
      </c>
      <c r="G7" s="6" t="s">
        <v>76</v>
      </c>
      <c r="H7" s="3">
        <v>1000.0</v>
      </c>
      <c r="I7" s="3">
        <v>11000.0</v>
      </c>
      <c r="J7" s="3" t="s">
        <v>83</v>
      </c>
    </row>
    <row r="8">
      <c r="A8" s="2" t="s">
        <v>113</v>
      </c>
      <c r="B8" s="3" t="s">
        <v>114</v>
      </c>
      <c r="C8" s="4" t="s">
        <v>115</v>
      </c>
      <c r="D8" s="5" t="s">
        <v>116</v>
      </c>
      <c r="E8" s="5" t="s">
        <v>117</v>
      </c>
      <c r="F8" s="4" t="s">
        <v>118</v>
      </c>
      <c r="G8" s="6" t="s">
        <v>43</v>
      </c>
      <c r="H8" s="3">
        <v>500.0</v>
      </c>
      <c r="I8" s="3">
        <v>0.0</v>
      </c>
      <c r="J8" s="3" t="s">
        <v>19</v>
      </c>
    </row>
    <row r="9">
      <c r="A9" s="2" t="s">
        <v>119</v>
      </c>
      <c r="B9" s="3" t="s">
        <v>120</v>
      </c>
      <c r="C9" s="5" t="s">
        <v>86</v>
      </c>
      <c r="D9" s="4" t="s">
        <v>121</v>
      </c>
      <c r="E9" s="5" t="s">
        <v>122</v>
      </c>
      <c r="F9" s="5" t="s">
        <v>123</v>
      </c>
      <c r="G9" s="6" t="s">
        <v>17</v>
      </c>
      <c r="H9" s="3">
        <v>500.0</v>
      </c>
      <c r="I9" s="3">
        <v>0.0</v>
      </c>
      <c r="J9" s="3" t="s">
        <v>19</v>
      </c>
    </row>
    <row r="10">
      <c r="A10" s="2" t="s">
        <v>124</v>
      </c>
      <c r="B10" s="3" t="s">
        <v>125</v>
      </c>
      <c r="C10" s="4" t="s">
        <v>126</v>
      </c>
      <c r="D10" s="4" t="s">
        <v>127</v>
      </c>
      <c r="E10" s="5" t="s">
        <v>93</v>
      </c>
      <c r="F10" s="5" t="s">
        <v>128</v>
      </c>
      <c r="G10" s="6" t="s">
        <v>43</v>
      </c>
      <c r="H10" s="3">
        <v>500.0</v>
      </c>
      <c r="I10" s="3">
        <v>0.0</v>
      </c>
      <c r="J10" s="3" t="s">
        <v>19</v>
      </c>
    </row>
    <row r="11">
      <c r="A11" s="2" t="s">
        <v>129</v>
      </c>
      <c r="B11" s="3" t="s">
        <v>130</v>
      </c>
      <c r="C11" s="4" t="s">
        <v>131</v>
      </c>
      <c r="D11" s="5" t="s">
        <v>132</v>
      </c>
      <c r="E11" s="23" t="s">
        <v>133</v>
      </c>
      <c r="F11" s="5" t="s">
        <v>134</v>
      </c>
      <c r="G11" s="6" t="s">
        <v>74</v>
      </c>
      <c r="H11" s="3">
        <v>500.0</v>
      </c>
      <c r="I11" s="3">
        <v>0.0</v>
      </c>
      <c r="J11" s="3" t="s">
        <v>19</v>
      </c>
    </row>
    <row r="12">
      <c r="A12" s="2" t="s">
        <v>135</v>
      </c>
      <c r="B12" s="3" t="s">
        <v>136</v>
      </c>
      <c r="C12" s="4" t="s">
        <v>137</v>
      </c>
      <c r="D12" s="5" t="s">
        <v>138</v>
      </c>
      <c r="E12" s="4" t="s">
        <v>111</v>
      </c>
      <c r="F12" s="23" t="s">
        <v>134</v>
      </c>
      <c r="G12" s="6" t="s">
        <v>73</v>
      </c>
      <c r="H12" s="3">
        <v>500.0</v>
      </c>
      <c r="I12" s="3">
        <v>0.0</v>
      </c>
      <c r="J12" s="3" t="s">
        <v>19</v>
      </c>
    </row>
    <row r="13">
      <c r="A13" s="2" t="s">
        <v>139</v>
      </c>
      <c r="B13" s="3" t="s">
        <v>140</v>
      </c>
      <c r="C13" s="4" t="s">
        <v>141</v>
      </c>
      <c r="D13" s="5" t="s">
        <v>142</v>
      </c>
      <c r="E13" s="5" t="s">
        <v>143</v>
      </c>
      <c r="F13" s="4" t="s">
        <v>88</v>
      </c>
      <c r="G13" s="6" t="s">
        <v>43</v>
      </c>
      <c r="H13" s="3">
        <v>1000.0</v>
      </c>
      <c r="I13" s="3">
        <v>0.0</v>
      </c>
      <c r="J13" s="3" t="s">
        <v>19</v>
      </c>
    </row>
    <row r="14">
      <c r="A14" s="2" t="s">
        <v>144</v>
      </c>
      <c r="B14" s="3" t="s">
        <v>145</v>
      </c>
      <c r="C14" s="4" t="s">
        <v>146</v>
      </c>
      <c r="D14" s="5" t="s">
        <v>132</v>
      </c>
      <c r="E14" s="5" t="s">
        <v>147</v>
      </c>
      <c r="F14" s="5" t="s">
        <v>148</v>
      </c>
      <c r="G14" s="6" t="s">
        <v>17</v>
      </c>
      <c r="H14" s="3">
        <v>1000.0</v>
      </c>
      <c r="I14" s="3">
        <v>0.0</v>
      </c>
      <c r="J14" s="3" t="s">
        <v>19</v>
      </c>
    </row>
    <row r="15">
      <c r="A15" s="2" t="s">
        <v>149</v>
      </c>
      <c r="B15" s="3" t="s">
        <v>150</v>
      </c>
      <c r="C15" s="4" t="s">
        <v>151</v>
      </c>
      <c r="D15" s="5" t="s">
        <v>131</v>
      </c>
      <c r="E15" s="4" t="s">
        <v>152</v>
      </c>
      <c r="F15" s="4" t="s">
        <v>153</v>
      </c>
      <c r="G15" s="6" t="s">
        <v>26</v>
      </c>
      <c r="H15" s="3">
        <v>500.0</v>
      </c>
      <c r="I15" s="3">
        <v>0.0</v>
      </c>
      <c r="J15" s="3" t="s">
        <v>19</v>
      </c>
    </row>
    <row r="16">
      <c r="A16" s="2" t="s">
        <v>154</v>
      </c>
      <c r="B16" s="3" t="s">
        <v>155</v>
      </c>
      <c r="C16" s="4" t="s">
        <v>153</v>
      </c>
      <c r="D16" s="4" t="s">
        <v>156</v>
      </c>
      <c r="E16" s="5" t="s">
        <v>127</v>
      </c>
      <c r="F16" s="5" t="s">
        <v>157</v>
      </c>
      <c r="G16" s="6" t="s">
        <v>43</v>
      </c>
      <c r="H16" s="3">
        <v>500.0</v>
      </c>
      <c r="I16" s="3">
        <v>0.0</v>
      </c>
      <c r="J16" s="3" t="s">
        <v>19</v>
      </c>
    </row>
    <row r="17">
      <c r="A17" s="2" t="s">
        <v>158</v>
      </c>
      <c r="B17" s="3" t="s">
        <v>159</v>
      </c>
      <c r="C17" s="4" t="s">
        <v>160</v>
      </c>
      <c r="D17" s="5" t="s">
        <v>161</v>
      </c>
      <c r="E17" s="4" t="s">
        <v>162</v>
      </c>
      <c r="F17" s="5" t="s">
        <v>163</v>
      </c>
      <c r="G17" s="6" t="s">
        <v>43</v>
      </c>
      <c r="H17" s="3">
        <v>1000.0</v>
      </c>
      <c r="I17" s="3">
        <v>0.0</v>
      </c>
      <c r="J17" s="3" t="s">
        <v>19</v>
      </c>
    </row>
    <row r="18">
      <c r="A18" s="2" t="s">
        <v>164</v>
      </c>
      <c r="B18" s="3" t="s">
        <v>165</v>
      </c>
      <c r="C18" s="5" t="s">
        <v>166</v>
      </c>
      <c r="D18" s="5" t="s">
        <v>167</v>
      </c>
      <c r="E18" s="5" t="s">
        <v>168</v>
      </c>
      <c r="F18" s="5" t="s">
        <v>169</v>
      </c>
      <c r="G18" s="6" t="s">
        <v>76</v>
      </c>
      <c r="H18" s="3">
        <v>500.0</v>
      </c>
      <c r="I18" s="3">
        <v>5500.0</v>
      </c>
      <c r="J18" s="3" t="s">
        <v>83</v>
      </c>
    </row>
    <row r="19">
      <c r="A19" s="2" t="s">
        <v>170</v>
      </c>
      <c r="B19" s="3" t="s">
        <v>171</v>
      </c>
      <c r="C19" s="5" t="s">
        <v>172</v>
      </c>
      <c r="D19" s="5" t="s">
        <v>99</v>
      </c>
      <c r="E19" s="5" t="s">
        <v>173</v>
      </c>
      <c r="F19" s="5" t="s">
        <v>174</v>
      </c>
      <c r="G19" s="6" t="s">
        <v>76</v>
      </c>
      <c r="H19" s="3">
        <v>1000.0</v>
      </c>
      <c r="I19" s="3">
        <v>11000.0</v>
      </c>
      <c r="J19" s="3" t="s">
        <v>83</v>
      </c>
    </row>
    <row r="20">
      <c r="A20" s="2" t="s">
        <v>175</v>
      </c>
      <c r="B20" s="3" t="s">
        <v>176</v>
      </c>
      <c r="C20" s="5" t="s">
        <v>177</v>
      </c>
      <c r="D20" s="24" t="s">
        <v>115</v>
      </c>
      <c r="E20" s="5" t="s">
        <v>178</v>
      </c>
      <c r="F20" s="4" t="s">
        <v>179</v>
      </c>
      <c r="G20" s="6" t="s">
        <v>17</v>
      </c>
      <c r="H20" s="3">
        <v>500.0</v>
      </c>
      <c r="I20" s="3">
        <v>0.0</v>
      </c>
      <c r="J20" s="3" t="s">
        <v>19</v>
      </c>
    </row>
    <row r="21">
      <c r="A21" s="2" t="s">
        <v>180</v>
      </c>
      <c r="B21" s="3" t="s">
        <v>181</v>
      </c>
      <c r="C21" s="4" t="s">
        <v>182</v>
      </c>
      <c r="D21" s="5" t="s">
        <v>183</v>
      </c>
      <c r="E21" s="5" t="s">
        <v>184</v>
      </c>
      <c r="F21" s="5" t="s">
        <v>185</v>
      </c>
      <c r="G21" s="6" t="s">
        <v>17</v>
      </c>
      <c r="H21" s="3">
        <v>500.0</v>
      </c>
      <c r="I21" s="3">
        <v>0.0</v>
      </c>
      <c r="J21" s="3" t="s">
        <v>19</v>
      </c>
    </row>
    <row r="22">
      <c r="A22" s="2" t="s">
        <v>186</v>
      </c>
      <c r="B22" s="3" t="s">
        <v>187</v>
      </c>
      <c r="C22" s="4" t="s">
        <v>188</v>
      </c>
      <c r="D22" s="5" t="s">
        <v>189</v>
      </c>
      <c r="E22" s="5" t="s">
        <v>190</v>
      </c>
      <c r="F22" s="5" t="s">
        <v>191</v>
      </c>
      <c r="G22" s="6" t="s">
        <v>17</v>
      </c>
      <c r="H22" s="3">
        <v>1000.0</v>
      </c>
      <c r="I22" s="3">
        <v>0.0</v>
      </c>
      <c r="J22" s="3" t="s">
        <v>19</v>
      </c>
    </row>
    <row r="23">
      <c r="A23" s="2" t="s">
        <v>192</v>
      </c>
      <c r="B23" s="3" t="s">
        <v>193</v>
      </c>
      <c r="C23" s="5" t="s">
        <v>93</v>
      </c>
      <c r="D23" s="5" t="s">
        <v>106</v>
      </c>
      <c r="E23" s="5" t="s">
        <v>194</v>
      </c>
      <c r="F23" s="5" t="s">
        <v>195</v>
      </c>
      <c r="G23" s="6" t="s">
        <v>76</v>
      </c>
      <c r="H23" s="3">
        <v>500.0</v>
      </c>
      <c r="I23" s="3">
        <v>6000.0</v>
      </c>
      <c r="J23" s="3" t="s">
        <v>83</v>
      </c>
    </row>
    <row r="24">
      <c r="A24" s="2" t="s">
        <v>196</v>
      </c>
      <c r="B24" s="3" t="s">
        <v>197</v>
      </c>
      <c r="C24" s="4" t="s">
        <v>198</v>
      </c>
      <c r="D24" s="4" t="s">
        <v>199</v>
      </c>
      <c r="E24" s="5" t="s">
        <v>200</v>
      </c>
      <c r="F24" s="5" t="s">
        <v>201</v>
      </c>
      <c r="G24" s="6" t="s">
        <v>43</v>
      </c>
      <c r="H24" s="3">
        <v>1000.0</v>
      </c>
      <c r="I24" s="3">
        <v>0.0</v>
      </c>
      <c r="J24" s="3" t="s">
        <v>19</v>
      </c>
    </row>
    <row r="25">
      <c r="A25" s="2" t="s">
        <v>202</v>
      </c>
      <c r="B25" s="3" t="s">
        <v>203</v>
      </c>
      <c r="C25" s="4" t="s">
        <v>204</v>
      </c>
      <c r="D25" s="25" t="s">
        <v>205</v>
      </c>
      <c r="E25" s="5" t="s">
        <v>142</v>
      </c>
      <c r="F25" s="5" t="s">
        <v>86</v>
      </c>
      <c r="G25" s="6" t="s">
        <v>43</v>
      </c>
      <c r="H25" s="3">
        <v>500.0</v>
      </c>
      <c r="I25" s="3">
        <v>0.0</v>
      </c>
      <c r="J25" s="3" t="s">
        <v>19</v>
      </c>
    </row>
    <row r="26">
      <c r="A26" s="2" t="s">
        <v>206</v>
      </c>
      <c r="B26" s="3" t="s">
        <v>207</v>
      </c>
      <c r="C26" s="5" t="s">
        <v>200</v>
      </c>
      <c r="D26" s="5" t="s">
        <v>137</v>
      </c>
      <c r="E26" s="23" t="s">
        <v>208</v>
      </c>
      <c r="F26" s="4" t="s">
        <v>98</v>
      </c>
      <c r="G26" s="6" t="s">
        <v>74</v>
      </c>
      <c r="H26" s="3">
        <v>500.0</v>
      </c>
      <c r="I26" s="3">
        <v>0.0</v>
      </c>
      <c r="J26" s="3" t="s">
        <v>19</v>
      </c>
    </row>
    <row r="27">
      <c r="A27" s="26" t="s">
        <v>209</v>
      </c>
      <c r="B27" s="27" t="s">
        <v>210</v>
      </c>
      <c r="C27" s="28" t="s">
        <v>111</v>
      </c>
      <c r="D27" s="28" t="s">
        <v>131</v>
      </c>
      <c r="E27" s="29" t="s">
        <v>211</v>
      </c>
      <c r="F27" s="30" t="s">
        <v>172</v>
      </c>
      <c r="G27" s="31" t="s">
        <v>74</v>
      </c>
      <c r="H27" s="27">
        <v>1000.0</v>
      </c>
      <c r="I27" s="27">
        <v>0.0</v>
      </c>
      <c r="J27" s="27" t="s">
        <v>19</v>
      </c>
    </row>
    <row r="28">
      <c r="A28" s="32" t="s">
        <v>212</v>
      </c>
      <c r="B28" s="33" t="s">
        <v>213</v>
      </c>
      <c r="C28" s="34" t="s">
        <v>185</v>
      </c>
      <c r="D28" s="35" t="s">
        <v>214</v>
      </c>
      <c r="E28" s="35" t="s">
        <v>88</v>
      </c>
      <c r="F28" s="35" t="s">
        <v>215</v>
      </c>
      <c r="G28" s="36" t="s">
        <v>17</v>
      </c>
      <c r="H28" s="33">
        <v>1000.0</v>
      </c>
      <c r="I28" s="33">
        <v>0.0</v>
      </c>
      <c r="J28" s="33" t="s">
        <v>19</v>
      </c>
    </row>
    <row r="29">
      <c r="A29" s="2" t="s">
        <v>216</v>
      </c>
      <c r="B29" s="3" t="s">
        <v>217</v>
      </c>
      <c r="C29" s="5" t="s">
        <v>218</v>
      </c>
      <c r="D29" s="5" t="s">
        <v>219</v>
      </c>
      <c r="E29" s="5" t="s">
        <v>220</v>
      </c>
      <c r="F29" s="4" t="s">
        <v>221</v>
      </c>
      <c r="G29" s="37">
        <v>46115.0</v>
      </c>
      <c r="H29" s="3">
        <v>500.0</v>
      </c>
      <c r="I29" s="3">
        <v>0.0</v>
      </c>
      <c r="J29" s="3" t="s">
        <v>19</v>
      </c>
    </row>
    <row r="30">
      <c r="A30" s="2" t="s">
        <v>222</v>
      </c>
      <c r="B30" s="3" t="s">
        <v>223</v>
      </c>
      <c r="C30" s="4" t="s">
        <v>224</v>
      </c>
      <c r="D30" s="4" t="s">
        <v>178</v>
      </c>
      <c r="E30" s="5" t="s">
        <v>225</v>
      </c>
      <c r="F30" s="5" t="s">
        <v>226</v>
      </c>
      <c r="G30" s="37">
        <v>46114.0</v>
      </c>
      <c r="H30" s="3">
        <v>1000.0</v>
      </c>
      <c r="I30" s="3">
        <v>0.0</v>
      </c>
      <c r="J30" s="3" t="s">
        <v>19</v>
      </c>
    </row>
    <row r="31">
      <c r="A31" s="2" t="s">
        <v>227</v>
      </c>
      <c r="B31" s="3" t="s">
        <v>228</v>
      </c>
      <c r="C31" s="5" t="s">
        <v>219</v>
      </c>
      <c r="D31" s="5" t="s">
        <v>110</v>
      </c>
      <c r="E31" s="4" t="s">
        <v>229</v>
      </c>
      <c r="F31" s="5" t="s">
        <v>230</v>
      </c>
      <c r="G31" s="37">
        <v>46115.0</v>
      </c>
      <c r="H31" s="3">
        <v>500.0</v>
      </c>
      <c r="I31" s="3">
        <v>0.0</v>
      </c>
      <c r="J31" s="3" t="s">
        <v>19</v>
      </c>
    </row>
    <row r="32">
      <c r="A32" s="2" t="s">
        <v>231</v>
      </c>
      <c r="B32" s="3" t="s">
        <v>232</v>
      </c>
      <c r="C32" s="5" t="s">
        <v>218</v>
      </c>
      <c r="D32" s="5" t="s">
        <v>233</v>
      </c>
      <c r="E32" s="5" t="s">
        <v>234</v>
      </c>
      <c r="F32" s="4" t="s">
        <v>235</v>
      </c>
      <c r="G32" s="37">
        <v>46115.0</v>
      </c>
      <c r="H32" s="3">
        <v>500.0</v>
      </c>
      <c r="I32" s="3">
        <v>0.0</v>
      </c>
      <c r="J32" s="3" t="s">
        <v>19</v>
      </c>
    </row>
    <row r="33">
      <c r="A33" s="2" t="s">
        <v>236</v>
      </c>
      <c r="B33" s="3" t="s">
        <v>237</v>
      </c>
      <c r="C33" s="4" t="s">
        <v>238</v>
      </c>
      <c r="D33" s="5" t="s">
        <v>167</v>
      </c>
      <c r="E33" s="23" t="s">
        <v>239</v>
      </c>
      <c r="F33" s="4" t="s">
        <v>183</v>
      </c>
      <c r="G33" s="37">
        <v>46082.0</v>
      </c>
      <c r="H33" s="3">
        <v>500.0</v>
      </c>
      <c r="I33" s="3">
        <v>0.0</v>
      </c>
      <c r="J33" s="3" t="s">
        <v>19</v>
      </c>
    </row>
    <row r="34">
      <c r="A34" s="2" t="s">
        <v>240</v>
      </c>
      <c r="B34" s="3" t="s">
        <v>241</v>
      </c>
      <c r="C34" s="4" t="s">
        <v>218</v>
      </c>
      <c r="D34" s="4" t="s">
        <v>242</v>
      </c>
      <c r="E34" s="4" t="s">
        <v>243</v>
      </c>
      <c r="F34" s="4" t="s">
        <v>244</v>
      </c>
      <c r="G34" s="38" t="s">
        <v>66</v>
      </c>
      <c r="H34" s="3">
        <v>500.0</v>
      </c>
      <c r="I34" s="3">
        <v>0.0</v>
      </c>
      <c r="J34" s="3" t="s">
        <v>19</v>
      </c>
    </row>
    <row r="35">
      <c r="A35" s="2" t="s">
        <v>245</v>
      </c>
      <c r="B35" s="3" t="s">
        <v>246</v>
      </c>
      <c r="C35" s="4" t="s">
        <v>247</v>
      </c>
      <c r="D35" s="5" t="s">
        <v>248</v>
      </c>
      <c r="E35" s="4" t="s">
        <v>249</v>
      </c>
      <c r="F35" s="5" t="s">
        <v>250</v>
      </c>
      <c r="G35" s="39">
        <v>46114.0</v>
      </c>
      <c r="H35" s="3">
        <v>1000.0</v>
      </c>
      <c r="I35" s="3">
        <v>0.0</v>
      </c>
      <c r="J35" s="3" t="s">
        <v>19</v>
      </c>
    </row>
    <row r="36">
      <c r="A36" s="2" t="s">
        <v>251</v>
      </c>
      <c r="B36" s="3" t="s">
        <v>252</v>
      </c>
      <c r="C36" s="4" t="s">
        <v>127</v>
      </c>
      <c r="D36" s="5" t="s">
        <v>146</v>
      </c>
      <c r="E36" s="5" t="s">
        <v>253</v>
      </c>
      <c r="F36" s="4" t="s">
        <v>199</v>
      </c>
      <c r="G36" s="39">
        <v>46114.0</v>
      </c>
      <c r="H36" s="3">
        <v>500.0</v>
      </c>
      <c r="I36" s="3">
        <v>0.0</v>
      </c>
      <c r="J36" s="3" t="s">
        <v>19</v>
      </c>
    </row>
    <row r="37">
      <c r="A37" s="2" t="s">
        <v>254</v>
      </c>
      <c r="B37" s="3" t="s">
        <v>255</v>
      </c>
      <c r="C37" s="4" t="s">
        <v>256</v>
      </c>
      <c r="D37" s="5" t="s">
        <v>257</v>
      </c>
      <c r="E37" s="5" t="s">
        <v>258</v>
      </c>
      <c r="F37" s="4" t="s">
        <v>122</v>
      </c>
      <c r="G37" s="39">
        <v>46114.0</v>
      </c>
      <c r="H37" s="3">
        <v>1000.0</v>
      </c>
      <c r="I37" s="3">
        <v>0.0</v>
      </c>
      <c r="J37" s="3" t="s">
        <v>19</v>
      </c>
    </row>
    <row r="38">
      <c r="A38" s="2" t="s">
        <v>259</v>
      </c>
      <c r="B38" s="3" t="s">
        <v>260</v>
      </c>
      <c r="C38" s="5" t="s">
        <v>218</v>
      </c>
      <c r="D38" s="4" t="s">
        <v>261</v>
      </c>
      <c r="E38" s="4" t="s">
        <v>262</v>
      </c>
      <c r="F38" s="4" t="s">
        <v>137</v>
      </c>
      <c r="G38" s="39">
        <v>46113.0</v>
      </c>
      <c r="H38" s="3">
        <v>500.0</v>
      </c>
      <c r="I38" s="3">
        <v>0.0</v>
      </c>
      <c r="J38" s="3" t="s">
        <v>19</v>
      </c>
    </row>
    <row r="39">
      <c r="A39" s="2" t="s">
        <v>263</v>
      </c>
      <c r="B39" s="3" t="s">
        <v>264</v>
      </c>
      <c r="C39" s="5" t="s">
        <v>218</v>
      </c>
      <c r="D39" s="5" t="s">
        <v>265</v>
      </c>
      <c r="E39" s="4" t="s">
        <v>184</v>
      </c>
      <c r="F39" s="5" t="s">
        <v>266</v>
      </c>
      <c r="G39" s="39">
        <v>46115.0</v>
      </c>
      <c r="H39" s="3">
        <v>1000.0</v>
      </c>
      <c r="I39" s="3">
        <v>0.0</v>
      </c>
      <c r="J39" s="3" t="s">
        <v>19</v>
      </c>
    </row>
    <row r="40">
      <c r="C40" s="10" t="s">
        <v>267</v>
      </c>
      <c r="D40" s="10" t="s">
        <v>268</v>
      </c>
      <c r="E40" s="10" t="s">
        <v>269</v>
      </c>
      <c r="F40" s="10" t="s">
        <v>270</v>
      </c>
    </row>
    <row r="41">
      <c r="C41" s="11" t="s">
        <v>271</v>
      </c>
      <c r="D41" s="12"/>
      <c r="E41" s="12"/>
      <c r="F41" s="8"/>
      <c r="H41" s="14" t="s">
        <v>68</v>
      </c>
      <c r="I41" s="12"/>
      <c r="J41" s="8"/>
    </row>
    <row r="42">
      <c r="H42" s="15" t="s">
        <v>70</v>
      </c>
      <c r="I42" s="15" t="s">
        <v>71</v>
      </c>
      <c r="J42" s="15" t="s">
        <v>72</v>
      </c>
    </row>
    <row r="43">
      <c r="H43" s="17">
        <f> SUM(H2:H39)</f>
        <v>26200</v>
      </c>
      <c r="I43" s="17">
        <f>SUM(I2:I39)</f>
        <v>39200</v>
      </c>
      <c r="J43" s="17">
        <f>I43-H43</f>
        <v>13000</v>
      </c>
    </row>
    <row r="45">
      <c r="H45" s="7" t="s">
        <v>28</v>
      </c>
      <c r="I45" s="8"/>
    </row>
    <row r="46">
      <c r="H46" s="3" t="s">
        <v>36</v>
      </c>
      <c r="I46" s="3">
        <v>6.0</v>
      </c>
    </row>
    <row r="47">
      <c r="H47" s="3" t="s">
        <v>35</v>
      </c>
      <c r="I47" s="3">
        <v>2.0</v>
      </c>
    </row>
    <row r="48">
      <c r="H48" s="3" t="s">
        <v>27</v>
      </c>
      <c r="I48" s="3">
        <v>2.0</v>
      </c>
    </row>
    <row r="49">
      <c r="H49" s="3" t="s">
        <v>18</v>
      </c>
      <c r="I49" s="3">
        <v>4.0</v>
      </c>
    </row>
    <row r="51">
      <c r="H51" s="9" t="s">
        <v>62</v>
      </c>
      <c r="I51" s="8"/>
    </row>
    <row r="52">
      <c r="H52" s="2" t="s">
        <v>66</v>
      </c>
      <c r="I52" s="3">
        <v>1.0</v>
      </c>
    </row>
    <row r="53">
      <c r="H53" s="2" t="s">
        <v>69</v>
      </c>
      <c r="I53" s="3">
        <v>0.0</v>
      </c>
    </row>
    <row r="54">
      <c r="H54" s="2" t="s">
        <v>26</v>
      </c>
      <c r="I54" s="3">
        <v>3.0</v>
      </c>
    </row>
    <row r="55">
      <c r="H55" s="2" t="s">
        <v>73</v>
      </c>
      <c r="I55" s="3">
        <v>2.0</v>
      </c>
    </row>
    <row r="56">
      <c r="H56" s="2" t="s">
        <v>43</v>
      </c>
      <c r="I56" s="3">
        <v>12.0</v>
      </c>
    </row>
    <row r="57">
      <c r="H57" s="2" t="s">
        <v>74</v>
      </c>
      <c r="I57" s="3">
        <v>3.0</v>
      </c>
    </row>
    <row r="58">
      <c r="H58" s="2" t="s">
        <v>17</v>
      </c>
      <c r="I58" s="3">
        <v>11.0</v>
      </c>
    </row>
    <row r="59">
      <c r="H59" s="2" t="s">
        <v>75</v>
      </c>
      <c r="I59" s="3">
        <v>0.0</v>
      </c>
    </row>
    <row r="60">
      <c r="H60" s="2" t="s">
        <v>76</v>
      </c>
      <c r="I60" s="3">
        <v>5.0</v>
      </c>
    </row>
    <row r="63">
      <c r="H63" s="22"/>
    </row>
    <row r="64">
      <c r="H64" s="22"/>
    </row>
    <row r="65">
      <c r="H65" s="22"/>
    </row>
    <row r="66">
      <c r="H66" s="22"/>
    </row>
    <row r="67">
      <c r="H67" s="22"/>
    </row>
    <row r="68">
      <c r="H68" s="22"/>
    </row>
  </sheetData>
  <mergeCells count="4">
    <mergeCell ref="C41:F41"/>
    <mergeCell ref="H41:J41"/>
    <mergeCell ref="H45:I45"/>
    <mergeCell ref="H51:I51"/>
  </mergeCells>
  <dataValidations>
    <dataValidation type="list" allowBlank="1" showErrorMessage="1" sqref="J2:J39">
      <formula1>"Gubitan,Dobitan"</formula1>
    </dataValidation>
  </dataValidations>
  <drawing r:id="rId1"/>
</worksheet>
</file>